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e_000\Desktop\portfolio\"/>
    </mc:Choice>
  </mc:AlternateContent>
  <xr:revisionPtr revIDLastSave="0" documentId="13_ncr:1_{69C2E4DB-0488-4240-826A-A97605BE421E}" xr6:coauthVersionLast="47" xr6:coauthVersionMax="47" xr10:uidLastSave="{00000000-0000-0000-0000-000000000000}"/>
  <bookViews>
    <workbookView xWindow="-120" yWindow="-120" windowWidth="38640" windowHeight="21120" activeTab="6" xr2:uid="{A41D6D52-7B0F-4DAB-9C96-20F07C9C7297}"/>
  </bookViews>
  <sheets>
    <sheet name="Kundengespräch" sheetId="1" r:id="rId1"/>
    <sheet name="Aufwand - Scope" sheetId="2" r:id="rId2"/>
    <sheet name="Preis-Modell" sheetId="4" r:id="rId3"/>
    <sheet name="Tabelle5" sheetId="7" r:id="rId4"/>
    <sheet name="Beispiel-Angebot" sheetId="5" r:id="rId5"/>
    <sheet name="Beispiel-Auftrag" sheetId="6" r:id="rId6"/>
    <sheet name="Tabelle1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<sst xmlns="http://schemas.openxmlformats.org/spreadsheetml/2006/main" count="155" uniqueCount="136">
  <si>
    <t>1. Projektbasis</t>
  </si>
  <si>
    <t>Wie heißt das Projekt / die Firma?</t>
  </si>
  <si>
    <t>Wer ist Ansprechpartner?</t>
  </si>
  <si>
    <t>Was soll überhaupt gebaut werden?</t>
  </si>
  <si>
    <t>Was ist das Hauptziel der Website?</t>
  </si>
  <si>
    <t>2. Inhalte</t>
  </si>
  <si>
    <t>Welche Seiten werden gebraucht?</t>
  </si>
  <si>
    <t>Gibt es Texte schon?</t>
  </si>
  <si>
    <t>Gibt es Bilder / Logo / Medien schon?</t>
  </si>
  <si>
    <t>Gibt es Referenzseiten oder Stilbeispiele?</t>
  </si>
  <si>
    <t>Wird Mehrsprachigkeit gebraucht?</t>
  </si>
  <si>
    <t>3. Design / UX</t>
  </si>
  <si>
    <t>Gibt es schon Branding / Farben / Stil?</t>
  </si>
  <si>
    <t>Welche Nutzeraktion ist am wichtigsten?</t>
  </si>
  <si>
    <t>Soll die Seite eher schlicht, modern, verspielt oder technisch wirken?</t>
  </si>
  <si>
    <t>Ist Mobile besonders wichtig?</t>
  </si>
  <si>
    <t>4. Technik / Funktionen</t>
  </si>
  <si>
    <t>Nur Frontend oder auch Backend?</t>
  </si>
  <si>
    <t>Kontaktformular nötig?</t>
  </si>
  <si>
    <t>externe Dienste nötig? (Maps, Newsletter, Social, etc.)</t>
  </si>
  <si>
    <t>Login / Upload / Datenbank nötig?</t>
  </si>
  <si>
    <t>5. Betrieb / Rahmen</t>
  </si>
  <si>
    <t>Domain vorhanden?</t>
  </si>
  <si>
    <t>Hosting vorhanden?</t>
  </si>
  <si>
    <t>Impressum / Datenschutz vorhanden?</t>
  </si>
  <si>
    <t>Gibt es eine Deadline?</t>
  </si>
  <si>
    <t>Gibt es einen Budgetrahmen?</t>
  </si>
  <si>
    <t>6. Scope-Klärung</t>
  </si>
  <si>
    <t>Was ist Pflicht?</t>
  </si>
  <si>
    <t>Was wäre nur nice to have?</t>
  </si>
  <si>
    <t>Was gehört ausdrücklich nicht dazu?</t>
  </si>
  <si>
    <t>Was ist noch unklar?</t>
  </si>
  <si>
    <t>Planung / Struktur</t>
  </si>
  <si>
    <t>Startseite / Hero</t>
  </si>
  <si>
    <t>Unterseiten</t>
  </si>
  <si>
    <t>Kontaktformular</t>
  </si>
  <si>
    <t>Responsive Feinschliff</t>
  </si>
  <si>
    <t>Mehrsprachigkeit</t>
  </si>
  <si>
    <t>Feedbackschleifen / Korrekturen</t>
  </si>
  <si>
    <t>Puffer</t>
  </si>
  <si>
    <t>Baustein</t>
  </si>
  <si>
    <t>Beschreibung</t>
  </si>
  <si>
    <t>Komplexität</t>
  </si>
  <si>
    <t>Aufwand grob</t>
  </si>
  <si>
    <t>Sicher machbar?</t>
  </si>
  <si>
    <t>Notizen</t>
  </si>
  <si>
    <t>BeispielBaustein</t>
  </si>
  <si>
    <t>Blabla</t>
  </si>
  <si>
    <t>klein/mittel/groß</t>
  </si>
  <si>
    <t>ja / mit Hilfe / nein</t>
  </si>
  <si>
    <t>BlaBla</t>
  </si>
  <si>
    <t>Deployment / Live testen</t>
  </si>
  <si>
    <t>CMS(selber pflegen können) / pflegbare Inhalte nötig?</t>
  </si>
  <si>
    <t>Preis:</t>
  </si>
  <si>
    <t>Stundensatz</t>
  </si>
  <si>
    <t>Mein Rat für dich jetzt</t>
  </si>
  <si>
    <t>Fixpreis-Rahmen, mit dem du arbeiten kannst</t>
  </si>
  <si>
    <r>
      <t>35–45 €/h</t>
    </r>
    <r>
      <rPr>
        <sz val="16"/>
        <color rgb="FFFFFFFF"/>
        <rFont val="Segoe UI"/>
        <family val="2"/>
      </rPr>
      <t> = sehr fairer Einstieg</t>
    </r>
  </si>
  <si>
    <r>
      <t>45–55 €/h</t>
    </r>
    <r>
      <rPr>
        <sz val="16"/>
        <color rgb="FFFFFFFF"/>
        <rFont val="Segoe UI"/>
        <family val="2"/>
      </rPr>
      <t> = okay, wenn Scope klar ist und du dich sicher fühlst</t>
    </r>
  </si>
  <si>
    <r>
      <t>über </t>
    </r>
    <r>
      <rPr>
        <sz val="16"/>
        <color rgb="FFFFFFFF"/>
        <rFont val="Consolas"/>
        <family val="3"/>
      </rPr>
      <t>55 €/h</t>
    </r>
    <r>
      <rPr>
        <sz val="16"/>
        <color rgb="FFFFFFFF"/>
        <rFont val="Segoe UI"/>
        <family val="2"/>
      </rPr>
      <t> würde ich aktuell nur gehen, wenn der Auftrag sehr klar, frontend-lastig und gut eingegrenzt ist</t>
    </r>
  </si>
  <si>
    <r>
      <t>Standard-Einstieg: </t>
    </r>
    <r>
      <rPr>
        <b/>
        <sz val="16"/>
        <color rgb="FFFFFFFF"/>
        <rFont val="Consolas"/>
        <family val="3"/>
      </rPr>
      <t>40 €/h</t>
    </r>
  </si>
  <si>
    <r>
      <t>bei Unsicherheit oder ersten Kunden: </t>
    </r>
    <r>
      <rPr>
        <b/>
        <sz val="16"/>
        <color rgb="FFFFFFFF"/>
        <rFont val="Consolas"/>
        <family val="3"/>
      </rPr>
      <t>35 €/h</t>
    </r>
  </si>
  <si>
    <r>
      <t>bei sauberem Frontend-Redesign mit Formular und wenig Chaos: </t>
    </r>
    <r>
      <rPr>
        <b/>
        <sz val="16"/>
        <color rgb="FFFFFFFF"/>
        <rFont val="Consolas"/>
        <family val="3"/>
      </rPr>
      <t>45 €/h</t>
    </r>
  </si>
  <si>
    <r>
      <t>Kleine Landingpage / Onepager: </t>
    </r>
    <r>
      <rPr>
        <b/>
        <sz val="16"/>
        <color rgb="FFFFFFFF"/>
        <rFont val="Consolas"/>
        <family val="3"/>
      </rPr>
      <t>600–1.200 €</t>
    </r>
  </si>
  <si>
    <r>
      <t>Kleine Portfolio-/Business-Website mit 3–5 Seiten: </t>
    </r>
    <r>
      <rPr>
        <b/>
        <sz val="16"/>
        <color rgb="FFFFFFFF"/>
        <rFont val="Consolas"/>
        <family val="3"/>
      </rPr>
      <t>1.500–3.000 €</t>
    </r>
  </si>
  <si>
    <r>
      <t>Redesign einer bestehenden kleinen Firmenwebsite: </t>
    </r>
    <r>
      <rPr>
        <b/>
        <sz val="16"/>
        <color rgb="FFFFFFFF"/>
        <rFont val="Consolas"/>
        <family val="3"/>
      </rPr>
      <t>2.000–3.500 €</t>
    </r>
  </si>
  <si>
    <r>
      <t>Mit Kontaktformular, Livegang, Feinschliff, mehr Abstimmung: </t>
    </r>
    <r>
      <rPr>
        <b/>
        <sz val="16"/>
        <color rgb="FFFFFFFF"/>
        <rFont val="Consolas"/>
        <family val="3"/>
      </rPr>
      <t>2.500–4.000 €</t>
    </r>
  </si>
  <si>
    <r>
      <t>Mit Mehrsprachigkeit, mehr Korrekturen, Dritttools: </t>
    </r>
    <r>
      <rPr>
        <b/>
        <sz val="16"/>
        <color rgb="FFFFFFFF"/>
        <rFont val="Consolas"/>
        <family val="3"/>
      </rPr>
      <t>3.000–5.000 €</t>
    </r>
  </si>
  <si>
    <t>Angebot</t>
  </si>
  <si>
    <t>Absender:</t>
  </si>
  <si>
    <t>Empfänger:</t>
  </si>
  <si>
    <t>Sanitär XYZ</t>
  </si>
  <si>
    <t>z. Hd. [Name Ansprechpartner]</t>
  </si>
  <si>
    <t>Jan Heß</t>
  </si>
  <si>
    <t>[deine Daten]</t>
  </si>
  <si>
    <t>für die Überarbeitung einer Unternehmenswebsite</t>
  </si>
  <si>
    <t>Datum:</t>
  </si>
  <si>
    <t>[Datum]</t>
  </si>
  <si>
    <t>Betreff:</t>
  </si>
  <si>
    <t>Angebot für das Redesign der bestehenden Unternehmenswebsite</t>
  </si>
  <si>
    <t>Vielen Dank für das Gespräch und die Einblicke in Ihr Projekt.</t>
  </si>
  <si>
    <t>Auf Basis unseres bisherigen Austauschs biete ich Ihnen die Überarbeitung Ihrer bestehenden Website in folgendem Umfang an:</t>
  </si>
  <si>
    <t>Leistungsumfang:</t>
  </si>
  <si>
    <t xml:space="preserve"> #=- visuelle und strukturelle Überarbeitung der bestehenden Website</t>
  </si>
  <si>
    <t xml:space="preserve"> =- Modernisierung des Layouts und der Nutzerführung</t>
  </si>
  <si>
    <t xml:space="preserve"> - responsive Umsetzung für Desktop, Tablet und Mobile</t>
  </si>
  <si>
    <t xml:space="preserve"> =- Überarbeitung der wichtigsten Seiten auf Basis der bestehenden Seitenstruktur</t>
  </si>
  <si>
    <t xml:space="preserve"> =- Einbindung bzw. Überarbeitung eines Kontaktformulars</t>
  </si>
  <si>
    <t xml:space="preserve"> =- technischer Live-Test nach Fertigstellung</t>
  </si>
  <si>
    <t>Optional bzw. bei Bedarf:</t>
  </si>
  <si>
    <t xml:space="preserve"> =- kleinere inhaltliche Anpassungen auf Basis vorhandener Texte und Medien</t>
  </si>
  <si>
    <t xml:space="preserve"> =- Unterstützung bei Hosting / Domain / Livegang</t>
  </si>
  <si>
    <t>Nicht enthalten:</t>
  </si>
  <si>
    <t xml:space="preserve"> =- Login-Bereiche</t>
  </si>
  <si>
    <t xml:space="preserve"> =- Datenbank-Funktionen</t>
  </si>
  <si>
    <t xml:space="preserve"> =- umfangreiche Backend-Entwicklung</t>
  </si>
  <si>
    <t xml:space="preserve"> =- CMS-Integration</t>
  </si>
  <si>
    <t xml:space="preserve"> =- größere Zusatzfunktionen außerhalb des besprochenen Scopes</t>
  </si>
  <si>
    <t>Zeitlicher Rahmen:</t>
  </si>
  <si>
    <t>Die Umsetzung ist nach finaler Abstimmung und Materialfreigabe innerhalb von ca. [X] Wochen realistisch.</t>
  </si>
  <si>
    <t>Pauschalpreis: [XXXX] € netto / brutto</t>
  </si>
  <si>
    <t>oder</t>
  </si>
  <si>
    <t>Abrechnung auf Stundenbasis: [XX] € / Stunde</t>
  </si>
  <si>
    <t>Zahlung:</t>
  </si>
  <si>
    <t>- [z. B. 30 % Anzahlung, 70 % nach Fertigstellung]</t>
  </si>
  <si>
    <t>- Zahlung nach Rechnungsstellung innerhalb von [X] Tagen</t>
  </si>
  <si>
    <t>Hinweis:</t>
  </si>
  <si>
    <t>Das Angebot basiert auf dem aktuell besprochenen Umfang. Zusätzliche Leistungen oder spätere Erweiterungen werden gesondert abgestimmt.</t>
  </si>
  <si>
    <t>Gültigkeit:</t>
  </si>
  <si>
    <t>Dieses Angebot ist gültig bis zum [Datum].</t>
  </si>
  <si>
    <t>Wenn das für Sie passend klingt, freue ich mich über Ihre Rückmeldung. Im nächsten Schritt würde ich den Auftrag schriftlich zusammenfassen und den Projektstart vorbereiten.</t>
  </si>
  <si>
    <t>Mit freundlichen Grüßen</t>
  </si>
  <si>
    <t>Auftragsbestätigung</t>
  </si>
  <si>
    <t>z. Hd. [Name]</t>
  </si>
  <si>
    <t>Auftragsbestätigung für das Redesign der bestehenden Website</t>
  </si>
  <si>
    <t>Hiermit bestätige ich den Auftrag zur Überarbeitung der bestehenden Unternehmenswebsite von Sanitär XYZ auf Grundlage des Angebots vom [Datum].</t>
  </si>
  <si>
    <t>Beauftragter Leistungsumfang:</t>
  </si>
  <si>
    <t>Vergütung:</t>
  </si>
  <si>
    <t xml:space="preserve">[Preis] € </t>
  </si>
  <si>
    <t>[XX] € / Stunde</t>
  </si>
  <si>
    <t>Geplanter Projektzeitraum: [von / bis oder ca. X Wochen]</t>
  </si>
  <si>
    <t>Voraussetzungen:</t>
  </si>
  <si>
    <t>- Bereitstellung aller benötigten Inhalte, Texte, Bilder und Zugänge</t>
  </si>
  <si>
    <t>Zusätzliche Leistungen:</t>
  </si>
  <si>
    <t>Leistungen außerhalb des oben genannten Umfangs werden gesondert abgestimmt.</t>
  </si>
  <si>
    <t>Bitte bestätigen Sie den Auftrag kurz schriftlich per E-Mail, damit ich mit der weiteren Planung und Umsetzung beginnen kann.</t>
  </si>
  <si>
    <t xml:space="preserve"> =- Redesign der bestehenden Website</t>
  </si>
  <si>
    <t xml:space="preserve"> =- responsive Umsetzung</t>
  </si>
  <si>
    <t xml:space="preserve"> =- Überarbeitung der bestehenden Seitenstruktur</t>
  </si>
  <si>
    <t xml:space="preserve"> =- Einbindung / Überarbeitung des Kontaktformulars</t>
  </si>
  <si>
    <t xml:space="preserve"> =- technischer Abschluss- und Live-Test</t>
  </si>
  <si>
    <t xml:space="preserve"> =- zusätzliche Funktionen außerhalb des abgestimmten Scopes</t>
  </si>
  <si>
    <t xml:space="preserve"> =- Rückmeldungen und Freigaben innerhalb angemessener Zeit</t>
  </si>
  <si>
    <t>durchschnittlicher Tagessatz für erfahrene Entwickler:</t>
  </si>
  <si>
    <t>Tagessatz</t>
  </si>
  <si>
    <t>Stundenlohn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</si>
</sst>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2" x14ac:knownFonts="1">
    <font>
      <sz val="11"/>
      <color theme="1"/>
      <name val="Calibri"/>
      <family val="2"/>
      <scheme val="minor"/>
    </font>
    <font>
      <sz val="16"/>
      <color rgb="FFFFFFFF"/>
      <name val="Segoe UI"/>
      <family val="2"/>
    </font>
    <font>
      <sz val="16"/>
      <color theme="1"/>
      <name val="Calibri"/>
      <family val="2"/>
      <scheme val="minor"/>
    </font>
    <font>
      <sz val="16"/>
      <color theme="0"/>
      <name val="Segoe UI"/>
      <family val="2"/>
    </font>
    <font>
      <sz val="16"/>
      <color theme="0"/>
      <name val="Calibri"/>
      <family val="2"/>
      <scheme val="minor"/>
    </font>
    <font>
      <b/>
      <u/>
      <sz val="36"/>
      <color theme="0"/>
      <name val="Calibri"/>
      <family val="2"/>
      <scheme val="minor"/>
    </font>
    <font>
      <b/>
      <u/>
      <sz val="26"/>
      <color rgb="FFFFFFFF"/>
      <name val="Segoe UI"/>
      <family val="2"/>
    </font>
    <font>
      <sz val="11"/>
      <color theme="1"/>
      <name val="Calibri"/>
      <family val="2"/>
      <scheme val="minor"/>
    </font>
    <font>
      <sz val="16"/>
      <color rgb="FFFFFFFF"/>
      <name val="Consolas"/>
      <family val="3"/>
    </font>
    <font>
      <b/>
      <sz val="16"/>
      <color rgb="FFFFFFFF"/>
      <name val="Consolas"/>
      <family val="3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/>
    <xf numFmtId="0" fontId="3" fillId="2" borderId="4" xfId="0" applyFont="1" applyFill="1" applyBorder="1" applyAlignment="1">
      <alignment horizontal="left" vertical="center" wrapText="1" indent="1"/>
    </xf>
    <xf numFmtId="0" fontId="4" fillId="2" borderId="2" xfId="0" applyFont="1" applyFill="1" applyBorder="1"/>
    <xf numFmtId="0" fontId="4" fillId="2" borderId="1" xfId="0" applyFont="1" applyFill="1" applyBorder="1"/>
    <xf numFmtId="0" fontId="4" fillId="2" borderId="4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10" fillId="0" borderId="0" xfId="0" applyFont="1"/>
    <xf numFmtId="9" fontId="0" fillId="0" borderId="0" xfId="1" applyFont="1" applyAlignment="1">
      <alignment horizontal="left"/>
    </xf>
    <xf numFmtId="6" fontId="5" fillId="2" borderId="1" xfId="0" applyNumberFormat="1" applyFont="1" applyFill="1" applyBorder="1" applyAlignment="1">
      <alignment horizontal="center" vertical="center"/>
    </xf>
    <xf numFmtId="6" fontId="4" fillId="2" borderId="2" xfId="0" applyNumberFormat="1" applyFont="1" applyFill="1" applyBorder="1" applyAlignment="1">
      <alignment horizontal="center"/>
    </xf>
    <xf numFmtId="0" fontId="11" fillId="2" borderId="0" xfId="0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153166</xdr:colOff>
      <xdr:row>6</xdr:row>
      <xdr:rowOff>247932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53B27B4-DB99-C65C-158A-E00B8E7A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87166" cy="2019582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0</xdr:row>
      <xdr:rowOff>0</xdr:rowOff>
    </xdr:from>
    <xdr:to>
      <xdr:col>13</xdr:col>
      <xdr:colOff>76826</xdr:colOff>
      <xdr:row>5</xdr:row>
      <xdr:rowOff>206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5570155-2498-516F-3C2F-EE5F52025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5" y="0"/>
          <a:ext cx="4486901" cy="1476581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0</xdr:row>
      <xdr:rowOff>0</xdr:rowOff>
    </xdr:from>
    <xdr:to>
      <xdr:col>18</xdr:col>
      <xdr:colOff>143413</xdr:colOff>
      <xdr:row>4</xdr:row>
      <xdr:rowOff>200218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A495D9A-46CD-7EE9-DBAD-A7BA57127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50" y="0"/>
          <a:ext cx="3858163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7</xdr:col>
      <xdr:colOff>257955</xdr:colOff>
      <xdr:row>12</xdr:row>
      <xdr:rowOff>257374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9FC1DA8-87E3-32BE-BF51-65DF4E1B9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71725"/>
          <a:ext cx="5591955" cy="1428949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8</xdr:row>
      <xdr:rowOff>9525</xdr:rowOff>
    </xdr:from>
    <xdr:to>
      <xdr:col>14</xdr:col>
      <xdr:colOff>38815</xdr:colOff>
      <xdr:row>12</xdr:row>
      <xdr:rowOff>257374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F6F5EEB-44F9-C961-6191-130C634BF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81650" y="2371725"/>
          <a:ext cx="5125165" cy="142894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19</xdr:col>
      <xdr:colOff>753112</xdr:colOff>
      <xdr:row>12</xdr:row>
      <xdr:rowOff>152586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14518C7E-CB52-F3C8-6D51-C62B80FF8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68000" y="2362200"/>
          <a:ext cx="4563112" cy="1333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114300</xdr:rowOff>
    </xdr:from>
    <xdr:to>
      <xdr:col>5</xdr:col>
      <xdr:colOff>648322</xdr:colOff>
      <xdr:row>19</xdr:row>
      <xdr:rowOff>9716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A9D7ED03-0556-9107-AD9F-3FEBBCCE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248150"/>
          <a:ext cx="4458322" cy="1371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66675</xdr:rowOff>
    </xdr:from>
    <xdr:to>
      <xdr:col>9</xdr:col>
      <xdr:colOff>553484</xdr:colOff>
      <xdr:row>26</xdr:row>
      <xdr:rowOff>9764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E3207086-9BF4-D5C1-5DD2-ADDCDA7E3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972175"/>
          <a:ext cx="7411484" cy="1714739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20</xdr:row>
      <xdr:rowOff>85725</xdr:rowOff>
    </xdr:from>
    <xdr:to>
      <xdr:col>16</xdr:col>
      <xdr:colOff>638925</xdr:colOff>
      <xdr:row>26</xdr:row>
      <xdr:rowOff>9762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3E576F4C-959C-299A-6EAF-D87B5A38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58075" y="5991225"/>
          <a:ext cx="5372850" cy="1695687"/>
        </a:xfrm>
        <a:prstGeom prst="rect">
          <a:avLst/>
        </a:prstGeom>
      </xdr:spPr>
    </xdr:pic>
    <xdr:clientData/>
  </xdr:twoCellAnchor>
  <xdr:twoCellAnchor editAs="oneCell">
    <xdr:from>
      <xdr:col>16</xdr:col>
      <xdr:colOff>723900</xdr:colOff>
      <xdr:row>20</xdr:row>
      <xdr:rowOff>85725</xdr:rowOff>
    </xdr:from>
    <xdr:to>
      <xdr:col>26</xdr:col>
      <xdr:colOff>324858</xdr:colOff>
      <xdr:row>24</xdr:row>
      <xdr:rowOff>247837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8E0437C2-D1AA-884C-86B1-0443941F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15900" y="5991225"/>
          <a:ext cx="7220958" cy="1343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28575</xdr:rowOff>
    </xdr:from>
    <xdr:to>
      <xdr:col>8</xdr:col>
      <xdr:colOff>696273</xdr:colOff>
      <xdr:row>31</xdr:row>
      <xdr:rowOff>247845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2CFB85A0-7CC8-D9F9-0750-E9E82FB7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001000"/>
          <a:ext cx="6792273" cy="140037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19050</xdr:rowOff>
    </xdr:from>
    <xdr:to>
      <xdr:col>17</xdr:col>
      <xdr:colOff>524799</xdr:colOff>
      <xdr:row>32</xdr:row>
      <xdr:rowOff>190730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DAFF7A46-2869-4F67-1214-58EF3110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0" y="7991475"/>
          <a:ext cx="6620799" cy="1648055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381000</xdr:colOff>
      <xdr:row>0</xdr:row>
      <xdr:rowOff>0</xdr:rowOff>
    </xdr:from>
    <xdr:to>
      <xdr:col>31</xdr:col>
      <xdr:colOff>144012</xdr:colOff>
      <xdr:row>16</xdr:row>
      <xdr:rowOff>153081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5A11521B-3DDC-A44E-3C34-DA327EA5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21000" y="0"/>
          <a:ext cx="8145012" cy="4877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343480</xdr:colOff>
      <xdr:row>20</xdr:row>
      <xdr:rowOff>38637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9CC13D-CF46-B027-09A1-C3093BC76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53480" cy="384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4A24-FB02-48CE-A803-AC9AAF04AB24}">
  <dimension ref="A1:X38"/>
  <sheetViews>
    <sheetView workbookViewId="0">
      <selection activeCell="H20" sqref="H20"/>
    </sheetView>
  </sheetViews>
  <sheetFormatPr baseColWidth="10" defaultRowHeight="21" x14ac:dyDescent="0.35"/>
  <cols>
    <col min="1" max="1" width="83.7109375" style="5" bestFit="1" customWidth="1"/>
    <col min="2" max="2" width="11.42578125" style="3"/>
    <col min="3" max="24" width="11.42578125" style="2"/>
    <col min="25" max="16384" width="11.42578125" style="1"/>
  </cols>
  <sheetData>
    <row r="1" spans="1:1" ht="38.25" x14ac:dyDescent="0.25">
      <c r="A1" s="12" t="s">
        <v>0</v>
      </c>
    </row>
    <row r="2" spans="1:1" ht="25.5" x14ac:dyDescent="0.25">
      <c r="A2" s="4" t="s">
        <v>1</v>
      </c>
    </row>
    <row r="3" spans="1:1" ht="25.5" x14ac:dyDescent="0.25">
      <c r="A3" s="4" t="s">
        <v>2</v>
      </c>
    </row>
    <row r="4" spans="1:1" ht="25.5" x14ac:dyDescent="0.25">
      <c r="A4" s="4" t="s">
        <v>3</v>
      </c>
    </row>
    <row r="5" spans="1:1" ht="25.5" x14ac:dyDescent="0.25">
      <c r="A5" s="4" t="s">
        <v>4</v>
      </c>
    </row>
    <row r="7" spans="1:1" ht="38.25" x14ac:dyDescent="0.25">
      <c r="A7" s="13" t="s">
        <v>5</v>
      </c>
    </row>
    <row r="8" spans="1:1" ht="25.5" x14ac:dyDescent="0.25">
      <c r="A8" s="4" t="s">
        <v>6</v>
      </c>
    </row>
    <row r="9" spans="1:1" ht="25.5" x14ac:dyDescent="0.25">
      <c r="A9" s="4" t="s">
        <v>7</v>
      </c>
    </row>
    <row r="10" spans="1:1" ht="25.5" x14ac:dyDescent="0.25">
      <c r="A10" s="4" t="s">
        <v>8</v>
      </c>
    </row>
    <row r="11" spans="1:1" ht="25.5" x14ac:dyDescent="0.25">
      <c r="A11" s="4" t="s">
        <v>9</v>
      </c>
    </row>
    <row r="12" spans="1:1" ht="25.5" x14ac:dyDescent="0.25">
      <c r="A12" s="4" t="s">
        <v>10</v>
      </c>
    </row>
    <row r="14" spans="1:1" ht="38.25" x14ac:dyDescent="0.25">
      <c r="A14" s="13" t="s">
        <v>11</v>
      </c>
    </row>
    <row r="15" spans="1:1" ht="25.5" x14ac:dyDescent="0.25">
      <c r="A15" s="4" t="s">
        <v>12</v>
      </c>
    </row>
    <row r="16" spans="1:1" ht="25.5" x14ac:dyDescent="0.25">
      <c r="A16" s="4" t="s">
        <v>13</v>
      </c>
    </row>
    <row r="17" spans="1:1" ht="51" x14ac:dyDescent="0.25">
      <c r="A17" s="4" t="s">
        <v>14</v>
      </c>
    </row>
    <row r="18" spans="1:1" ht="25.5" x14ac:dyDescent="0.25">
      <c r="A18" s="4" t="s">
        <v>15</v>
      </c>
    </row>
    <row r="20" spans="1:1" ht="38.25" x14ac:dyDescent="0.25">
      <c r="A20" s="13" t="s">
        <v>16</v>
      </c>
    </row>
    <row r="21" spans="1:1" ht="25.5" x14ac:dyDescent="0.25">
      <c r="A21" s="4" t="s">
        <v>17</v>
      </c>
    </row>
    <row r="22" spans="1:1" ht="25.5" x14ac:dyDescent="0.25">
      <c r="A22" s="4" t="s">
        <v>18</v>
      </c>
    </row>
    <row r="23" spans="1:1" ht="25.5" x14ac:dyDescent="0.25">
      <c r="A23" s="4" t="s">
        <v>52</v>
      </c>
    </row>
    <row r="24" spans="1:1" ht="25.5" x14ac:dyDescent="0.25">
      <c r="A24" s="4" t="s">
        <v>19</v>
      </c>
    </row>
    <row r="25" spans="1:1" ht="25.5" x14ac:dyDescent="0.25">
      <c r="A25" s="4" t="s">
        <v>20</v>
      </c>
    </row>
    <row r="27" spans="1:1" ht="38.25" x14ac:dyDescent="0.25">
      <c r="A27" s="13" t="s">
        <v>21</v>
      </c>
    </row>
    <row r="28" spans="1:1" ht="25.5" x14ac:dyDescent="0.25">
      <c r="A28" s="4" t="s">
        <v>22</v>
      </c>
    </row>
    <row r="29" spans="1:1" ht="25.5" x14ac:dyDescent="0.25">
      <c r="A29" s="4" t="s">
        <v>23</v>
      </c>
    </row>
    <row r="30" spans="1:1" ht="25.5" x14ac:dyDescent="0.25">
      <c r="A30" s="4" t="s">
        <v>24</v>
      </c>
    </row>
    <row r="31" spans="1:1" ht="25.5" x14ac:dyDescent="0.25">
      <c r="A31" s="4" t="s">
        <v>25</v>
      </c>
    </row>
    <row r="32" spans="1:1" ht="25.5" x14ac:dyDescent="0.25">
      <c r="A32" s="4" t="s">
        <v>26</v>
      </c>
    </row>
    <row r="34" spans="1:1" ht="38.25" x14ac:dyDescent="0.25">
      <c r="A34" s="13" t="s">
        <v>27</v>
      </c>
    </row>
    <row r="35" spans="1:1" ht="25.5" x14ac:dyDescent="0.25">
      <c r="A35" s="4" t="s">
        <v>28</v>
      </c>
    </row>
    <row r="36" spans="1:1" ht="25.5" x14ac:dyDescent="0.25">
      <c r="A36" s="4" t="s">
        <v>29</v>
      </c>
    </row>
    <row r="37" spans="1:1" ht="25.5" x14ac:dyDescent="0.25">
      <c r="A37" s="4" t="s">
        <v>30</v>
      </c>
    </row>
    <row r="38" spans="1:1" ht="25.5" x14ac:dyDescent="0.25">
      <c r="A38" s="4" t="s">
        <v>31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379-FA96-4B35-9FA5-53EE5246E752}">
  <dimension ref="A1:F11"/>
  <sheetViews>
    <sheetView workbookViewId="0">
      <selection activeCell="B36" sqref="B35:B36"/>
    </sheetView>
  </sheetViews>
  <sheetFormatPr baseColWidth="10" defaultRowHeight="21" x14ac:dyDescent="0.35"/>
  <cols>
    <col min="1" max="1" width="45.85546875" style="9" bestFit="1" customWidth="1"/>
    <col min="2" max="2" width="41.42578125" style="7" bestFit="1" customWidth="1"/>
    <col min="3" max="3" width="37.85546875" style="8" bestFit="1" customWidth="1"/>
    <col min="4" max="4" width="43.7109375" style="8" bestFit="1" customWidth="1"/>
    <col min="5" max="5" width="50.42578125" style="8" bestFit="1" customWidth="1"/>
    <col min="6" max="6" width="24.7109375" style="8" bestFit="1" customWidth="1"/>
    <col min="7" max="16384" width="11.42578125" style="8"/>
  </cols>
  <sheetData>
    <row r="1" spans="1:6" s="10" customFormat="1" ht="46.5" x14ac:dyDescent="0.25">
      <c r="A1" s="10" t="s">
        <v>40</v>
      </c>
      <c r="B1" s="11" t="s">
        <v>41</v>
      </c>
      <c r="C1" s="10" t="s">
        <v>42</v>
      </c>
      <c r="D1" s="10" t="s">
        <v>43</v>
      </c>
      <c r="E1" s="10" t="s">
        <v>44</v>
      </c>
      <c r="F1" s="10" t="s">
        <v>45</v>
      </c>
    </row>
    <row r="2" spans="1:6" ht="25.5" x14ac:dyDescent="0.35">
      <c r="A2" s="6" t="s">
        <v>46</v>
      </c>
      <c r="B2" s="7" t="s">
        <v>47</v>
      </c>
      <c r="C2" s="8" t="s">
        <v>48</v>
      </c>
      <c r="D2" s="8" t="s">
        <v>48</v>
      </c>
      <c r="E2" s="8" t="s">
        <v>49</v>
      </c>
      <c r="F2" s="8" t="s">
        <v>50</v>
      </c>
    </row>
    <row r="3" spans="1:6" ht="25.5" x14ac:dyDescent="0.35">
      <c r="A3" s="6" t="s">
        <v>32</v>
      </c>
    </row>
    <row r="4" spans="1:6" ht="25.5" x14ac:dyDescent="0.35">
      <c r="A4" s="6" t="s">
        <v>33</v>
      </c>
    </row>
    <row r="5" spans="1:6" ht="25.5" x14ac:dyDescent="0.35">
      <c r="A5" s="6" t="s">
        <v>34</v>
      </c>
    </row>
    <row r="6" spans="1:6" ht="25.5" x14ac:dyDescent="0.35">
      <c r="A6" s="6" t="s">
        <v>35</v>
      </c>
    </row>
    <row r="7" spans="1:6" ht="25.5" x14ac:dyDescent="0.35">
      <c r="A7" s="6" t="s">
        <v>36</v>
      </c>
    </row>
    <row r="8" spans="1:6" ht="25.5" x14ac:dyDescent="0.35">
      <c r="A8" s="6" t="s">
        <v>37</v>
      </c>
    </row>
    <row r="9" spans="1:6" ht="25.5" x14ac:dyDescent="0.35">
      <c r="A9" s="6" t="s">
        <v>51</v>
      </c>
    </row>
    <row r="10" spans="1:6" ht="25.5" x14ac:dyDescent="0.35">
      <c r="A10" s="6" t="s">
        <v>38</v>
      </c>
    </row>
    <row r="11" spans="1:6" ht="25.5" x14ac:dyDescent="0.35">
      <c r="A11" s="6" t="s">
        <v>39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C31C-3218-40D9-A99B-BCE84B5329B3}">
  <dimension ref="A1:C15"/>
  <sheetViews>
    <sheetView workbookViewId="0">
      <selection activeCell="B16" sqref="B16"/>
    </sheetView>
  </sheetViews>
  <sheetFormatPr baseColWidth="10" defaultRowHeight="21" x14ac:dyDescent="0.35"/>
  <cols>
    <col min="1" max="1" width="148.85546875" style="9" bestFit="1" customWidth="1"/>
    <col min="2" max="2" width="160.140625" style="7" bestFit="1" customWidth="1"/>
    <col min="3" max="3" width="37.85546875" style="8" bestFit="1" customWidth="1"/>
    <col min="4" max="4" width="43.7109375" style="8" bestFit="1" customWidth="1"/>
    <col min="5" max="5" width="50.42578125" style="8" bestFit="1" customWidth="1"/>
    <col min="6" max="6" width="24.7109375" style="8" bestFit="1" customWidth="1"/>
    <col min="7" max="16384" width="11.42578125" style="8"/>
  </cols>
  <sheetData>
    <row r="1" spans="1:3" s="10" customFormat="1" ht="46.5" x14ac:dyDescent="0.25">
      <c r="A1" s="6" t="s">
        <v>54</v>
      </c>
      <c r="B1" s="11" t="s">
        <v>133</v>
      </c>
      <c r="C1" s="16"/>
    </row>
    <row r="2" spans="1:3" ht="25.5" x14ac:dyDescent="0.35">
      <c r="A2" s="6" t="s">
        <v>57</v>
      </c>
      <c r="B2" s="17">
        <v>677</v>
      </c>
      <c r="C2" s="8" t="s">
        <v>134</v>
      </c>
    </row>
    <row r="3" spans="1:3" ht="25.5" x14ac:dyDescent="0.35">
      <c r="A3" s="6" t="s">
        <v>58</v>
      </c>
      <c r="B3" s="17">
        <f>B2/8</f>
        <v>84.625</v>
      </c>
      <c r="C3" s="8" t="s">
        <v>135</v>
      </c>
    </row>
    <row r="4" spans="1:3" ht="25.5" x14ac:dyDescent="0.5">
      <c r="A4" s="9" t="s">
        <v>59</v>
      </c>
    </row>
    <row r="5" spans="1:3" x14ac:dyDescent="0.35">
      <c r="A5" s="9" t="s">
        <v>55</v>
      </c>
    </row>
    <row r="6" spans="1:3" x14ac:dyDescent="0.35">
      <c r="A6" s="9" t="s">
        <v>60</v>
      </c>
    </row>
    <row r="7" spans="1:3" x14ac:dyDescent="0.35">
      <c r="A7" s="9" t="s">
        <v>61</v>
      </c>
    </row>
    <row r="8" spans="1:3" x14ac:dyDescent="0.35">
      <c r="A8" s="9" t="s">
        <v>62</v>
      </c>
    </row>
    <row r="10" spans="1:3" x14ac:dyDescent="0.35">
      <c r="A10" s="9" t="s">
        <v>56</v>
      </c>
    </row>
    <row r="11" spans="1:3" x14ac:dyDescent="0.35">
      <c r="A11" s="9" t="s">
        <v>63</v>
      </c>
    </row>
    <row r="12" spans="1:3" x14ac:dyDescent="0.35">
      <c r="A12" s="9" t="s">
        <v>64</v>
      </c>
    </row>
    <row r="13" spans="1:3" x14ac:dyDescent="0.35">
      <c r="A13" s="9" t="s">
        <v>65</v>
      </c>
    </row>
    <row r="14" spans="1:3" x14ac:dyDescent="0.35">
      <c r="A14" s="9" t="s">
        <v>66</v>
      </c>
    </row>
    <row r="15" spans="1:3" x14ac:dyDescent="0.35">
      <c r="A15" s="9" t="s">
        <v>67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7E3B-6CD6-4F53-A967-585C476455C1}">
  <dimension ref="A1"/>
  <sheetViews>
    <sheetView workbookViewId="0">
      <selection activeCell="W32" sqref="W32"/>
    </sheetView>
  </sheetViews>
  <sheetFormatPr baseColWidth="10" defaultRowHeight="23.25" x14ac:dyDescent="0.35"/>
  <cols>
    <col min="1" max="16384" width="11.42578125" style="18"/>
  </cols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D57A-9967-4BE8-A20A-0B06A0B57126}">
  <dimension ref="G1:G63"/>
  <sheetViews>
    <sheetView topLeftCell="A34" workbookViewId="0">
      <selection activeCell="G72" sqref="G72"/>
    </sheetView>
  </sheetViews>
  <sheetFormatPr baseColWidth="10" defaultRowHeight="15" x14ac:dyDescent="0.25"/>
  <cols>
    <col min="7" max="7" width="160.5703125" bestFit="1" customWidth="1"/>
  </cols>
  <sheetData>
    <row r="1" spans="7:7" ht="23.25" x14ac:dyDescent="0.35">
      <c r="G1" s="14" t="s">
        <v>68</v>
      </c>
    </row>
    <row r="2" spans="7:7" x14ac:dyDescent="0.25">
      <c r="G2" t="s">
        <v>75</v>
      </c>
    </row>
    <row r="4" spans="7:7" ht="23.25" x14ac:dyDescent="0.35">
      <c r="G4" s="14" t="s">
        <v>69</v>
      </c>
    </row>
    <row r="5" spans="7:7" x14ac:dyDescent="0.25">
      <c r="G5" t="s">
        <v>73</v>
      </c>
    </row>
    <row r="6" spans="7:7" x14ac:dyDescent="0.25">
      <c r="G6" t="s">
        <v>74</v>
      </c>
    </row>
    <row r="9" spans="7:7" ht="23.25" x14ac:dyDescent="0.35">
      <c r="G9" s="14" t="s">
        <v>70</v>
      </c>
    </row>
    <row r="10" spans="7:7" x14ac:dyDescent="0.25">
      <c r="G10" t="s">
        <v>71</v>
      </c>
    </row>
    <row r="11" spans="7:7" x14ac:dyDescent="0.25">
      <c r="G11" t="s">
        <v>72</v>
      </c>
    </row>
    <row r="13" spans="7:7" x14ac:dyDescent="0.25">
      <c r="G13" t="s">
        <v>76</v>
      </c>
    </row>
    <row r="14" spans="7:7" x14ac:dyDescent="0.25">
      <c r="G14" t="s">
        <v>77</v>
      </c>
    </row>
    <row r="16" spans="7:7" ht="23.25" x14ac:dyDescent="0.35">
      <c r="G16" s="14" t="s">
        <v>78</v>
      </c>
    </row>
    <row r="17" spans="7:7" x14ac:dyDescent="0.25">
      <c r="G17" t="s">
        <v>79</v>
      </c>
    </row>
    <row r="19" spans="7:7" x14ac:dyDescent="0.25">
      <c r="G19" t="s">
        <v>80</v>
      </c>
    </row>
    <row r="20" spans="7:7" x14ac:dyDescent="0.25">
      <c r="G20" t="s">
        <v>81</v>
      </c>
    </row>
    <row r="22" spans="7:7" ht="23.25" x14ac:dyDescent="0.35">
      <c r="G22" s="14" t="s">
        <v>82</v>
      </c>
    </row>
    <row r="23" spans="7:7" x14ac:dyDescent="0.25">
      <c r="G23" s="15" t="s">
        <v>83</v>
      </c>
    </row>
    <row r="24" spans="7:7" x14ac:dyDescent="0.25">
      <c r="G24" s="15" t="s">
        <v>84</v>
      </c>
    </row>
    <row r="25" spans="7:7" x14ac:dyDescent="0.25">
      <c r="G25" s="15" t="s">
        <v>85</v>
      </c>
    </row>
    <row r="26" spans="7:7" x14ac:dyDescent="0.25">
      <c r="G26" s="15" t="s">
        <v>86</v>
      </c>
    </row>
    <row r="27" spans="7:7" x14ac:dyDescent="0.25">
      <c r="G27" s="15" t="s">
        <v>87</v>
      </c>
    </row>
    <row r="28" spans="7:7" x14ac:dyDescent="0.25">
      <c r="G28" s="15" t="s">
        <v>88</v>
      </c>
    </row>
    <row r="30" spans="7:7" ht="23.25" x14ac:dyDescent="0.35">
      <c r="G30" s="14" t="s">
        <v>89</v>
      </c>
    </row>
    <row r="31" spans="7:7" x14ac:dyDescent="0.25">
      <c r="G31" t="s">
        <v>91</v>
      </c>
    </row>
    <row r="32" spans="7:7" x14ac:dyDescent="0.25">
      <c r="G32" t="s">
        <v>90</v>
      </c>
    </row>
    <row r="34" spans="7:7" ht="23.25" x14ac:dyDescent="0.35">
      <c r="G34" s="14" t="s">
        <v>92</v>
      </c>
    </row>
    <row r="35" spans="7:7" x14ac:dyDescent="0.25">
      <c r="G35" t="s">
        <v>93</v>
      </c>
    </row>
    <row r="36" spans="7:7" x14ac:dyDescent="0.25">
      <c r="G36" t="s">
        <v>94</v>
      </c>
    </row>
    <row r="37" spans="7:7" x14ac:dyDescent="0.25">
      <c r="G37" t="s">
        <v>95</v>
      </c>
    </row>
    <row r="38" spans="7:7" x14ac:dyDescent="0.25">
      <c r="G38" t="s">
        <v>96</v>
      </c>
    </row>
    <row r="39" spans="7:7" x14ac:dyDescent="0.25">
      <c r="G39" t="s">
        <v>97</v>
      </c>
    </row>
    <row r="41" spans="7:7" ht="23.25" x14ac:dyDescent="0.35">
      <c r="G41" s="14" t="s">
        <v>98</v>
      </c>
    </row>
    <row r="42" spans="7:7" x14ac:dyDescent="0.25">
      <c r="G42" t="s">
        <v>99</v>
      </c>
    </row>
    <row r="44" spans="7:7" ht="23.25" x14ac:dyDescent="0.35">
      <c r="G44" s="14" t="s">
        <v>53</v>
      </c>
    </row>
    <row r="45" spans="7:7" x14ac:dyDescent="0.25">
      <c r="G45" t="s">
        <v>100</v>
      </c>
    </row>
    <row r="46" spans="7:7" x14ac:dyDescent="0.25">
      <c r="G46" t="s">
        <v>101</v>
      </c>
    </row>
    <row r="47" spans="7:7" x14ac:dyDescent="0.25">
      <c r="G47" t="s">
        <v>102</v>
      </c>
    </row>
    <row r="49" spans="7:7" ht="23.25" x14ac:dyDescent="0.35">
      <c r="G49" s="14" t="s">
        <v>103</v>
      </c>
    </row>
    <row r="50" spans="7:7" x14ac:dyDescent="0.25">
      <c r="G50" t="s">
        <v>104</v>
      </c>
    </row>
    <row r="51" spans="7:7" x14ac:dyDescent="0.25">
      <c r="G51" t="s">
        <v>101</v>
      </c>
    </row>
    <row r="52" spans="7:7" x14ac:dyDescent="0.25">
      <c r="G52" t="s">
        <v>105</v>
      </c>
    </row>
    <row r="54" spans="7:7" ht="23.25" x14ac:dyDescent="0.35">
      <c r="G54" s="14" t="s">
        <v>106</v>
      </c>
    </row>
    <row r="55" spans="7:7" x14ac:dyDescent="0.25">
      <c r="G55" t="s">
        <v>107</v>
      </c>
    </row>
    <row r="57" spans="7:7" ht="23.25" x14ac:dyDescent="0.35">
      <c r="G57" s="14" t="s">
        <v>108</v>
      </c>
    </row>
    <row r="58" spans="7:7" x14ac:dyDescent="0.25">
      <c r="G58" t="s">
        <v>109</v>
      </c>
    </row>
    <row r="60" spans="7:7" x14ac:dyDescent="0.25">
      <c r="G60" t="s">
        <v>110</v>
      </c>
    </row>
    <row r="62" spans="7:7" x14ac:dyDescent="0.25">
      <c r="G62" t="s">
        <v>111</v>
      </c>
    </row>
    <row r="63" spans="7:7" x14ac:dyDescent="0.25">
      <c r="G63" t="s">
        <v>73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8CF6-4842-4143-9DFB-0EBF6323CC7D}">
  <dimension ref="G1:G50"/>
  <sheetViews>
    <sheetView workbookViewId="0">
      <selection activeCell="E45" sqref="E45"/>
    </sheetView>
  </sheetViews>
  <sheetFormatPr baseColWidth="10" defaultRowHeight="15" x14ac:dyDescent="0.25"/>
  <cols>
    <col min="7" max="7" width="138.42578125" bestFit="1" customWidth="1"/>
  </cols>
  <sheetData>
    <row r="1" spans="7:7" x14ac:dyDescent="0.25">
      <c r="G1" t="s">
        <v>112</v>
      </c>
    </row>
    <row r="3" spans="7:7" x14ac:dyDescent="0.25">
      <c r="G3" t="s">
        <v>69</v>
      </c>
    </row>
    <row r="4" spans="7:7" x14ac:dyDescent="0.25">
      <c r="G4" t="s">
        <v>73</v>
      </c>
    </row>
    <row r="5" spans="7:7" x14ac:dyDescent="0.25">
      <c r="G5" t="s">
        <v>74</v>
      </c>
    </row>
    <row r="7" spans="7:7" x14ac:dyDescent="0.25">
      <c r="G7" t="s">
        <v>70</v>
      </c>
    </row>
    <row r="8" spans="7:7" x14ac:dyDescent="0.25">
      <c r="G8" t="s">
        <v>71</v>
      </c>
    </row>
    <row r="9" spans="7:7" x14ac:dyDescent="0.25">
      <c r="G9" t="s">
        <v>113</v>
      </c>
    </row>
    <row r="11" spans="7:7" x14ac:dyDescent="0.25">
      <c r="G11" t="s">
        <v>76</v>
      </c>
    </row>
    <row r="12" spans="7:7" x14ac:dyDescent="0.25">
      <c r="G12" t="s">
        <v>77</v>
      </c>
    </row>
    <row r="14" spans="7:7" x14ac:dyDescent="0.25">
      <c r="G14" t="s">
        <v>78</v>
      </c>
    </row>
    <row r="15" spans="7:7" x14ac:dyDescent="0.25">
      <c r="G15" t="s">
        <v>114</v>
      </c>
    </row>
    <row r="17" spans="7:7" x14ac:dyDescent="0.25">
      <c r="G17" t="s">
        <v>115</v>
      </c>
    </row>
    <row r="19" spans="7:7" x14ac:dyDescent="0.25">
      <c r="G19" t="s">
        <v>116</v>
      </c>
    </row>
    <row r="20" spans="7:7" x14ac:dyDescent="0.25">
      <c r="G20" t="s">
        <v>126</v>
      </c>
    </row>
    <row r="21" spans="7:7" x14ac:dyDescent="0.25">
      <c r="G21" t="s">
        <v>127</v>
      </c>
    </row>
    <row r="22" spans="7:7" x14ac:dyDescent="0.25">
      <c r="G22" t="s">
        <v>128</v>
      </c>
    </row>
    <row r="23" spans="7:7" x14ac:dyDescent="0.25">
      <c r="G23" t="s">
        <v>129</v>
      </c>
    </row>
    <row r="24" spans="7:7" x14ac:dyDescent="0.25">
      <c r="G24" t="s">
        <v>130</v>
      </c>
    </row>
    <row r="26" spans="7:7" x14ac:dyDescent="0.25">
      <c r="G26" t="s">
        <v>92</v>
      </c>
    </row>
    <row r="27" spans="7:7" x14ac:dyDescent="0.25">
      <c r="G27" t="s">
        <v>93</v>
      </c>
    </row>
    <row r="28" spans="7:7" x14ac:dyDescent="0.25">
      <c r="G28" t="s">
        <v>94</v>
      </c>
    </row>
    <row r="29" spans="7:7" x14ac:dyDescent="0.25">
      <c r="G29" t="s">
        <v>96</v>
      </c>
    </row>
    <row r="30" spans="7:7" x14ac:dyDescent="0.25">
      <c r="G30" t="s">
        <v>131</v>
      </c>
    </row>
    <row r="32" spans="7:7" x14ac:dyDescent="0.25">
      <c r="G32" t="s">
        <v>117</v>
      </c>
    </row>
    <row r="33" spans="7:7" x14ac:dyDescent="0.25">
      <c r="G33" t="s">
        <v>118</v>
      </c>
    </row>
    <row r="34" spans="7:7" x14ac:dyDescent="0.25">
      <c r="G34" t="s">
        <v>101</v>
      </c>
    </row>
    <row r="35" spans="7:7" x14ac:dyDescent="0.25">
      <c r="G35" t="s">
        <v>119</v>
      </c>
    </row>
    <row r="37" spans="7:7" x14ac:dyDescent="0.25">
      <c r="G37" t="s">
        <v>98</v>
      </c>
    </row>
    <row r="38" spans="7:7" x14ac:dyDescent="0.25">
      <c r="G38" t="s">
        <v>120</v>
      </c>
    </row>
    <row r="40" spans="7:7" x14ac:dyDescent="0.25">
      <c r="G40" t="s">
        <v>121</v>
      </c>
    </row>
    <row r="41" spans="7:7" x14ac:dyDescent="0.25">
      <c r="G41" t="s">
        <v>122</v>
      </c>
    </row>
    <row r="42" spans="7:7" x14ac:dyDescent="0.25">
      <c r="G42" t="s">
        <v>132</v>
      </c>
    </row>
    <row r="44" spans="7:7" x14ac:dyDescent="0.25">
      <c r="G44" t="s">
        <v>123</v>
      </c>
    </row>
    <row r="45" spans="7:7" x14ac:dyDescent="0.25">
      <c r="G45" t="s">
        <v>124</v>
      </c>
    </row>
    <row r="47" spans="7:7" x14ac:dyDescent="0.25">
      <c r="G47" t="s">
        <v>125</v>
      </c>
    </row>
    <row r="49" spans="7:7" x14ac:dyDescent="0.25">
      <c r="G49" t="s">
        <v>111</v>
      </c>
    </row>
    <row r="50" spans="7:7" x14ac:dyDescent="0.25">
      <c r="G50" t="s">
        <v>73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6B7A-EA55-429D-85F5-C57CF5A091F3}">
  <dimension ref="A1"/>
  <sheetViews>
    <sheetView tabSelected="1" workbookViewId="0">
      <selection activeCell="N20" sqref="N20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Kundengespräch</vt:lpstr>
      <vt:lpstr>Aufwand - Scope</vt:lpstr>
      <vt:lpstr>Preis-Modell</vt:lpstr>
      <vt:lpstr>Tabelle5</vt:lpstr>
      <vt:lpstr>Beispiel-Angebot</vt:lpstr>
      <vt:lpstr>Beispiel-Auftrag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Hess</dc:creator>
  <cp:lastModifiedBy>Jan Hess</cp:lastModifiedBy>
  <dcterms:created xsi:type="dcterms:W3CDTF">2026-05-03T21:23:20Z</dcterms:created>
  <dcterms:modified xsi:type="dcterms:W3CDTF">2026-05-04T08:41:54Z</dcterms:modified>
</cp:coreProperties>
</file>